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7d83f56a1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Unit_Economics" sheetId="1" r:id="R2e004246943b4ca8"/>
    <x:sheet xmlns:r="http://schemas.openxmlformats.org/officeDocument/2006/relationships" name="02_Scenarios" sheetId="2" r:id="R5e9b796c2e934ed2"/>
    <x:sheet xmlns:r="http://schemas.openxmlformats.org/officeDocument/2006/relationships" name="03_Assumptions_Register" sheetId="3" r:id="R45d5b32e6d6a4427"/>
    <x:sheet xmlns:r="http://schemas.openxmlformats.org/officeDocument/2006/relationships" name="04_Roadmap_Gates" sheetId="4" r:id="R2a60e7e6a95c4962"/>
    <x:sheet xmlns:r="http://schemas.openxmlformats.org/officeDocument/2006/relationships" name="05_Model_Guide" sheetId="5" r:id="Rf8680b5003d9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6F4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676509a1704c42" /><Relationship Type="http://schemas.openxmlformats.org/officeDocument/2006/relationships/theme" Target="/xl/theme/theme1.xml" Id="Rec7eeac22df94447" /><Relationship Type="http://schemas.openxmlformats.org/officeDocument/2006/relationships/sharedStrings" Target="/xl/sharedStrings.xml" Id="Rb00bb8c41df741a8" /><Relationship Type="http://schemas.openxmlformats.org/officeDocument/2006/relationships/worksheet" Target="/xl/worksheets/sheet1.xml" Id="R2e004246943b4ca8" /><Relationship Type="http://schemas.openxmlformats.org/officeDocument/2006/relationships/worksheet" Target="/xl/worksheets/sheet2.xml" Id="R5e9b796c2e934ed2" /><Relationship Type="http://schemas.openxmlformats.org/officeDocument/2006/relationships/worksheet" Target="/xl/worksheets/sheet3.xml" Id="R45d5b32e6d6a4427" /><Relationship Type="http://schemas.openxmlformats.org/officeDocument/2006/relationships/worksheet" Target="/xl/worksheets/sheet4.xml" Id="R2a60e7e6a95c4962" /><Relationship Type="http://schemas.openxmlformats.org/officeDocument/2006/relationships/worksheet" Target="/xl/worksheets/sheet5.xml" Id="Rf8680b5003d94a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Metric</x:v>
      </x:c>
      <x:c r="B1" s="4" t="str">
        <x:v>Base assumption</x:v>
      </x:c>
      <x:c r="C1" s="4" t="str">
        <x:v>Unit</x:v>
      </x:c>
      <x:c r="D1" s="4" t="str">
        <x:v>Notes</x:v>
      </x:c>
    </x:row>
    <x:row r="2">
      <x:c r="A2" t="str">
        <x:v>Debit purchase volume</x:v>
      </x:c>
      <x:c r="B2" t="n">
        <x:v>450</x:v>
      </x:c>
      <x:c r="C2" t="str">
        <x:v>USD/month</x:v>
      </x:c>
      <x:c r="D2" t="str">
        <x:v>Draft not measured</x:v>
      </x:c>
    </x:row>
    <x:row r="3">
      <x:c r="A3" t="str">
        <x:v>Net interchange yield</x:v>
      </x:c>
      <x:c r="B3" t="n">
        <x:v>0.006</x:v>
      </x:c>
      <x:c r="C3" t="str">
        <x:v>fraction</x:v>
      </x:c>
      <x:c r="D3" t="str">
        <x:v>Must verify bank/processor/network economics</x:v>
      </x:c>
    </x:row>
    <x:row r="4">
      <x:c r="A4" t="str">
        <x:v>TANDA+ price</x:v>
      </x:c>
      <x:c r="B4" t="n">
        <x:v>7.99</x:v>
      </x:c>
      <x:c r="C4" t="str">
        <x:v>USD/month</x:v>
      </x:c>
      <x:c r="D4" t="str">
        <x:v>Waived for qualifying DD</x:v>
      </x:c>
    </x:row>
    <x:row r="5">
      <x:c r="A5" t="str">
        <x:v>Paying premium share</x:v>
      </x:c>
      <x:c r="B5" t="n">
        <x:v>0.08</x:v>
      </x:c>
      <x:c r="C5" t="str">
        <x:v>fraction</x:v>
      </x:c>
      <x:c r="D5" t="str">
        <x:v>After waivers; draft</x:v>
      </x:c>
    </x:row>
    <x:row r="6">
      <x:c r="A6" t="str">
        <x:v>Other partner revenue</x:v>
      </x:c>
      <x:c r="B6" t="n">
        <x:v>0.15</x:v>
      </x:c>
      <x:c r="C6" t="str">
        <x:v>USD/month</x:v>
      </x:c>
      <x:c r="D6" t="str">
        <x:v>Not contracted</x:v>
      </x:c>
    </x:row>
    <x:row r="7">
      <x:c r="A7" t="str">
        <x:v>Variable cost per active</x:v>
      </x:c>
      <x:c r="B7" t="n">
        <x:v>7.05</x:v>
      </x:c>
      <x:c r="C7" t="str">
        <x:v>USD/month</x:v>
      </x:c>
      <x:c r="D7" t="str">
        <x:v>Prior model estimate</x:v>
      </x:c>
    </x:row>
    <x:row r="8">
      <x:c r="A8" t="str">
        <x:v>Monthly fixed cost</x:v>
      </x:c>
      <x:c r="B8" t="n">
        <x:v>305000</x:v>
      </x:c>
      <x:c r="C8" t="str">
        <x:v>USD/month</x:v>
      </x:c>
      <x:c r="D8" t="str">
        <x:v>Prior model estimate</x:v>
      </x:c>
    </x:row>
    <x:row r="9">
      <x:c r="A9" t="str">
        <x:v>Debit revenue</x:v>
      </x:c>
      <x:c r="B9" t="n">
        <x:f>B2*B3</x:f>
        <x:v>2.7</x:v>
      </x:c>
      <x:c r="C9" t="str">
        <x:v>USD/month</x:v>
      </x:c>
      <x:c r="D9" t="str">
        <x:v>Calculated</x:v>
      </x:c>
    </x:row>
    <x:row r="10">
      <x:c r="A10" t="str">
        <x:v>Premium revenue</x:v>
      </x:c>
      <x:c r="B10" t="n">
        <x:f>B4*B5</x:f>
        <x:v>0.6392</x:v>
      </x:c>
      <x:c r="C10" t="str">
        <x:v>USD/month</x:v>
      </x:c>
      <x:c r="D10" t="str">
        <x:v>Calculated</x:v>
      </x:c>
    </x:row>
    <x:row r="11">
      <x:c r="A11" t="str">
        <x:v>ARPU</x:v>
      </x:c>
      <x:c r="B11" t="n">
        <x:f>B9+B10+B6</x:f>
        <x:v>3.4892</x:v>
      </x:c>
      <x:c r="C11" t="str">
        <x:v>USD/month</x:v>
      </x:c>
      <x:c r="D11" t="str">
        <x:v>Calculated</x:v>
      </x:c>
    </x:row>
    <x:row r="12">
      <x:c r="A12" t="str">
        <x:v>Contribution/account</x:v>
      </x:c>
      <x:c r="B12" t="n">
        <x:f>B11-B7</x:f>
        <x:v>-3.5608</x:v>
      </x:c>
      <x:c r="C12" t="str">
        <x:v>USD/month</x:v>
      </x:c>
      <x:c r="D12" t="str">
        <x:v>Calculated</x:v>
      </x:c>
    </x:row>
    <x:row r="13">
      <x:c r="A13" t="str">
        <x:v>Breakeven active accounts</x:v>
      </x:c>
      <x:c r="B13" t="str">
        <x:f>IF(B12&lt;=0,"Not feasible",B8/B12)</x:f>
        <x:v>Not feasible</x:v>
      </x:c>
      <x:c r="C13" t="str">
        <x:v>accounts</x:v>
      </x:c>
      <x:c r="D13" t="str">
        <x:v>N/A if contribution negative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Scenario</x:v>
      </x:c>
      <x:c r="B1" s="4" t="str">
        <x:v>Debit volume</x:v>
      </x:c>
      <x:c r="C1" s="4" t="str">
        <x:v>Net yield</x:v>
      </x:c>
      <x:c r="D1" s="4" t="str">
        <x:v>Premium paid %</x:v>
      </x:c>
      <x:c r="E1" t="str">
        <x:v>Other revenue</x:v>
      </x:c>
      <x:c r="F1" t="str">
        <x:v>Variable cost</x:v>
      </x:c>
      <x:c r="G1" t="str">
        <x:v>ARPU</x:v>
      </x:c>
      <x:c r="H1" t="str">
        <x:v>Contribution</x:v>
      </x:c>
    </x:row>
    <x:row r="2">
      <x:c r="A2" t="str">
        <x:v>Downside</x:v>
      </x:c>
      <x:c r="B2" t="n">
        <x:v>300</x:v>
      </x:c>
      <x:c r="C2" t="n">
        <x:v>0.004</x:v>
      </x:c>
      <x:c r="D2" t="n">
        <x:v>0.04</x:v>
      </x:c>
      <x:c r="E2" t="n">
        <x:v>0.05</x:v>
      </x:c>
      <x:c r="F2" t="n">
        <x:v>9</x:v>
      </x:c>
      <x:c r="G2" t="n">
        <x:f>B2*C2+D2*'01_Unit_Economics'!$B$4+E2</x:f>
        <x:v>1.5696</x:v>
      </x:c>
      <x:c r="H2" t="n">
        <x:f>G2-F2</x:f>
        <x:v>-7.4304</x:v>
      </x:c>
    </x:row>
    <x:row r="3">
      <x:c r="A3" t="str">
        <x:v>Base</x:v>
      </x:c>
      <x:c r="B3" t="n">
        <x:v>450</x:v>
      </x:c>
      <x:c r="C3" t="n">
        <x:v>0.006</x:v>
      </x:c>
      <x:c r="D3" t="n">
        <x:v>0.08</x:v>
      </x:c>
      <x:c r="E3" t="n">
        <x:v>0.15</x:v>
      </x:c>
      <x:c r="F3" t="n">
        <x:v>7.05</x:v>
      </x:c>
      <x:c r="G3" t="n">
        <x:f>B3*C3+D3*'01_Unit_Economics'!$B$4+E3</x:f>
        <x:v>3.4892</x:v>
      </x:c>
      <x:c r="H3" t="n">
        <x:f>G3-F3</x:f>
        <x:v>-3.5608</x:v>
      </x:c>
    </x:row>
    <x:row r="4">
      <x:c r="A4" t="str">
        <x:v>Upside hypothesis</x:v>
      </x:c>
      <x:c r="B4" t="n">
        <x:v>750</x:v>
      </x:c>
      <x:c r="C4" t="n">
        <x:v>0.009</x:v>
      </x:c>
      <x:c r="D4" t="n">
        <x:v>0.12</x:v>
      </x:c>
      <x:c r="E4" t="n">
        <x:v>0.4</x:v>
      </x:c>
      <x:c r="F4" t="n">
        <x:v>6</x:v>
      </x:c>
      <x:c r="G4" t="n">
        <x:f>B4*C4+D4*'01_Unit_Economics'!$B$4+E4</x:f>
        <x:v>8.108799999999999</x:v>
      </x:c>
      <x:c r="H4" t="n">
        <x:f>G4-F4</x:f>
        <x:v>2.1087999999999987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Assumption</x:v>
      </x:c>
      <x:c r="B1" s="4" t="str">
        <x:v>Status</x:v>
      </x:c>
      <x:c r="C1" s="4" t="str">
        <x:v>Evidence needed</x:v>
      </x:c>
      <x:c r="D1" s="4" t="str">
        <x:v>Decision owner</x:v>
      </x:c>
    </x:row>
    <x:row r="2">
      <x:c r="A2" t="str">
        <x:v>Sponsor bank</x:v>
      </x:c>
      <x:c r="B2" t="str">
        <x:v>Unselected</x:v>
      </x:c>
      <x:c r="C2" t="str">
        <x:v>Signed proposal, deposit terms, compliance matrix</x:v>
      </x:c>
      <x:c r="D2" t="str">
        <x:v>Founder/legal</x:v>
      </x:c>
    </x:row>
    <x:row r="3">
      <x:c r="A3" t="str">
        <x:v>Processor/network</x:v>
      </x:c>
      <x:c r="B3" t="str">
        <x:v>Unselected</x:v>
      </x:c>
      <x:c r="C3" t="str">
        <x:v>Price quotes, settlement, debit routing</x:v>
      </x:c>
      <x:c r="D3" t="str">
        <x:v>Product</x:v>
      </x:c>
    </x:row>
    <x:row r="4">
      <x:c r="A4" t="str">
        <x:v>ATM/cash deposits</x:v>
      </x:c>
      <x:c r="B4" t="str">
        <x:v>Unselected</x:v>
      </x:c>
      <x:c r="C4" t="str">
        <x:v>Network coverage, fees, cash partner</x:v>
      </x:c>
      <x:c r="D4" t="str">
        <x:v>Product</x:v>
      </x:c>
    </x:row>
    <x:row r="5">
      <x:c r="A5" t="str">
        <x:v>APY and deposit share</x:v>
      </x:c>
      <x:c r="B5" t="str">
        <x:v>Unknown</x:v>
      </x:c>
      <x:c r="C5" t="str">
        <x:v>Bank terms, rate sensitivity</x:v>
      </x:c>
      <x:c r="D5" t="str">
        <x:v>Finance</x:v>
      </x:c>
    </x:row>
    <x:row r="6">
      <x:c r="A6" t="str">
        <x:v>TANDA Spot losses</x:v>
      </x:c>
      <x:c r="B6" t="str">
        <x:v>Unknown</x:v>
      </x:c>
      <x:c r="C6" t="str">
        <x:v>Eligibility, risk, counsel review</x:v>
      </x:c>
      <x:c r="D6" t="str">
        <x:v>Risk/legal</x:v>
      </x:c>
    </x:row>
    <x:row r="7">
      <x:c r="A7" t="str">
        <x:v>Rewards funding</x:v>
      </x:c>
      <x:c r="B7" t="str">
        <x:v>Unknown</x:v>
      </x:c>
      <x:c r="C7" t="str">
        <x:v>Merchant contracts and cost caps</x:v>
      </x:c>
      <x:c r="D7" t="str">
        <x:v>Partnerships</x:v>
      </x:c>
    </x:row>
    <x:row r="8">
      <x:c r="A8" t="str">
        <x:v>TANDA+ waiver</x:v>
      </x:c>
      <x:c r="B8" t="str">
        <x:v>Approved concept</x:v>
      </x:c>
      <x:c r="C8" t="str">
        <x:v>DD qualification and grace policy</x:v>
      </x:c>
      <x:c r="D8" t="str">
        <x:v>Product/finance</x:v>
      </x:c>
    </x:row>
    <x:row r="9">
      <x:c r="A9" t="str">
        <x:v>CAC and churn</x:v>
      </x:c>
      <x:c r="B9" t="str">
        <x:v>Unknown</x:v>
      </x:c>
      <x:c r="C9" t="str">
        <x:v>CA/TX pilot cohorts</x:v>
      </x:c>
      <x:c r="D9" t="str">
        <x:v>Growth</x:v>
      </x:c>
    </x:row>
    <x:row r="10">
      <x:c r="A10" t="str">
        <x:v>Headcount and fundraising</x:v>
      </x:c>
      <x:c r="B10" t="str">
        <x:v>Unknown</x:v>
      </x:c>
      <x:c r="C10" t="str">
        <x:v>Staffing and runway model</x:v>
      </x:c>
      <x:c r="D10" t="str">
        <x:v>Founder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Milestone</x:v>
      </x:c>
      <x:c r="B1" s="4" t="str">
        <x:v>Deliverable</x:v>
      </x:c>
      <x:c r="C1" s="4" t="str">
        <x:v>Gate</x:v>
      </x:c>
      <x:c r="D1" s="4" t="str">
        <x:v>Status</x:v>
      </x:c>
    </x:row>
    <x:row r="2">
      <x:c r="A2" t="str">
        <x:v>Feasibility</x:v>
      </x:c>
      <x:c r="B2" t="str">
        <x:v>Partner RFI, legal map, prototype</x:v>
      </x:c>
      <x:c r="C2" t="str">
        <x:v>Program feasibility</x:v>
      </x:c>
      <x:c r="D2" t="str">
        <x:v>Not started</x:v>
      </x:c>
    </x:row>
    <x:row r="3">
      <x:c r="A3" t="str">
        <x:v>Internal alpha</x:v>
      </x:c>
      <x:c r="B3" t="str">
        <x:v>Simulated money/card flows</x:v>
      </x:c>
      <x:c r="C3" t="str">
        <x:v>Security and QA</x:v>
      </x:c>
      <x:c r="D3" t="str">
        <x:v>Not started</x:v>
      </x:c>
    </x:row>
    <x:row r="4">
      <x:c r="A4" t="str">
        <x:v>CA/TX beta</x:v>
      </x:c>
      <x:c r="B4" t="str">
        <x:v>Approved live-money cohort</x:v>
      </x:c>
      <x:c r="C4" t="str">
        <x:v>Bank approval and user success</x:v>
      </x:c>
      <x:c r="D4" t="str">
        <x:v>Not started</x:v>
      </x:c>
    </x:row>
    <x:row r="5">
      <x:c r="A5" t="str">
        <x:v>Public launch</x:v>
      </x:c>
      <x:c r="B5" t="str">
        <x:v>All committed launch features</x:v>
      </x:c>
      <x:c r="C5" t="str">
        <x:v>Legal, security, economics, operations</x:v>
      </x:c>
      <x:c r="D5" t="str">
        <x:v>Not started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Purpose</x:v>
      </x:c>
      <x:c r="B1" s="4" t="str">
        <x:v>Description</x:v>
      </x:c>
      <x:c r="C1" s="4"/>
      <x:c r="D1" s="4"/>
    </x:row>
    <x:row r="2">
      <x:c r="A2" t="str">
        <x:v>Model status</x:v>
      </x:c>
      <x:c r="B2" t="str">
        <x:v>Transparent assumption diagnostic, NOT an investment forecast</x:v>
      </x:c>
    </x:row>
    <x:row r="3">
      <x:c r="A3" t="str">
        <x:v>Known issue</x:v>
      </x:c>
      <x:c r="B3" t="str">
        <x:v>Base contribution is negative; adding customers increases variable operating losses</x:v>
      </x:c>
    </x:row>
    <x:row r="4">
      <x:c r="A4" t="str">
        <x:v>Scope</x:v>
      </x:c>
      <x:c r="B4" t="str">
        <x:v>Full initial release incl bilingual service, Assist, Shield, Family, Rewards, TANDA+ and Spot</x:v>
      </x:c>
    </x:row>
    <x:row r="5">
      <x:c r="A5" t="str">
        <x:v>Required next build</x:v>
      </x:c>
      <x:c r="B5" t="str">
        <x:v>Monthly 36–60 month P&amp;L, cohort funnel, fraud, reserves, partner economics, runway</x:v>
      </x:c>
    </x:row>
    <x:row r="6">
      <x:c r="A6" t="str">
        <x:v>Source</x:v>
      </x:c>
      <x:c r="B6" t="str">
        <x:v>TANDA Phase 1 Foundation Revision Research Report and prior draft model</x:v>
      </x:c>
    </x:row>
  </x:sheetData>
  <x:pageMargins left="0.7" right="0.7" top="0.75" bottom="0.75" header="0.3" footer="0.3"/>
</x:worksheet>
</file>